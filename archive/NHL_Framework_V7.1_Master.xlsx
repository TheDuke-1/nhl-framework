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s" sheetId="1" state="visible" r:id="rId1"/>
    <sheet xmlns:r="http://schemas.openxmlformats.org/officeDocument/2006/relationships" name="Data Input" sheetId="2" state="visible" r:id="rId2"/>
    <sheet xmlns:r="http://schemas.openxmlformats.org/officeDocument/2006/relationships" name="Road Performance" sheetId="3" state="visible" r:id="rId3"/>
    <sheet xmlns:r="http://schemas.openxmlformats.org/officeDocument/2006/relationships" name="Goaltending Detail" sheetId="4" state="visible" r:id="rId4"/>
    <sheet xmlns:r="http://schemas.openxmlformats.org/officeDocument/2006/relationships" name="Playoff Probability" sheetId="5" state="visible" r:id="rId5"/>
    <sheet xmlns:r="http://schemas.openxmlformats.org/officeDocument/2006/relationships" name="Cup Probability" sheetId="6" state="visible" r:id="rId6"/>
    <sheet xmlns:r="http://schemas.openxmlformats.org/officeDocument/2006/relationships" name="Betting Dashboard" sheetId="7" state="visible" r:id="rId7"/>
    <sheet xmlns:r="http://schemas.openxmlformats.org/officeDocument/2006/relationships" name="Historical Benchmarks" sheetId="8" state="visible" r:id="rId8"/>
    <sheet xmlns:r="http://schemas.openxmlformats.org/officeDocument/2006/relationships" name="Formulas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Name</t>
        </is>
      </c>
      <c r="D1" s="1" t="inlineStr">
        <is>
          <t>Conf</t>
        </is>
      </c>
      <c r="E1" s="1" t="inlineStr">
        <is>
          <t>Div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OTL</t>
        </is>
      </c>
      <c r="J1" s="1" t="inlineStr">
        <is>
          <t>PTS</t>
        </is>
      </c>
      <c r="K1" s="1" t="inlineStr">
        <is>
          <t>HDCF%</t>
        </is>
      </c>
      <c r="L1" s="1" t="inlineStr">
        <is>
          <t>xGD</t>
        </is>
      </c>
      <c r="M1" s="1" t="inlineStr">
        <is>
          <t>xGA</t>
        </is>
      </c>
      <c r="N1" s="1" t="inlineStr">
        <is>
          <t>CF%</t>
        </is>
      </c>
      <c r="O1" s="1" t="inlineStr">
        <is>
          <t>GSAx</t>
        </is>
      </c>
      <c r="P1" s="1" t="inlineStr">
        <is>
          <t>30D GSAx</t>
        </is>
      </c>
      <c r="Q1" s="1" t="inlineStr">
        <is>
          <t>HD SV%</t>
        </is>
      </c>
      <c r="R1" s="1" t="inlineStr">
        <is>
          <t>PK%</t>
        </is>
      </c>
      <c r="S1" s="1" t="inlineStr">
        <is>
          <t>PP%</t>
        </is>
      </c>
      <c r="T1" s="1" t="inlineStr">
        <is>
          <t>GD</t>
        </is>
      </c>
      <c r="U1" s="1" t="inlineStr">
        <is>
          <t>GA</t>
        </is>
      </c>
      <c r="V1" s="1" t="inlineStr">
        <is>
          <t>Road Win%</t>
        </is>
      </c>
      <c r="W1" s="1" t="inlineStr">
        <is>
          <t>Road GD/GP</t>
        </is>
      </c>
      <c r="X1" s="1" t="inlineStr">
        <is>
          <t>Road SV%</t>
        </is>
      </c>
      <c r="Y1" s="1" t="inlineStr">
        <is>
          <t>Road PK%</t>
        </is>
      </c>
      <c r="Z1" s="1" t="inlineStr">
        <is>
          <t>Form xGF%</t>
        </is>
      </c>
      <c r="AA1" s="1" t="inlineStr">
        <is>
          <t>Depth</t>
        </is>
      </c>
      <c r="AB1" s="1" t="inlineStr">
        <is>
          <t>Star PPG</t>
        </is>
      </c>
      <c r="AC1" s="1" t="inlineStr">
        <is>
          <t>FO%</t>
        </is>
      </c>
      <c r="AD1" s="1" t="inlineStr">
        <is>
          <t>DZ FO%</t>
        </is>
      </c>
      <c r="AE1" s="1" t="inlineStr">
        <is>
          <t>#1C FO%</t>
        </is>
      </c>
      <c r="AF1" s="1" t="inlineStr">
        <is>
          <t>Coach Win%</t>
        </is>
      </c>
      <c r="AG1" s="1" t="inlineStr">
        <is>
          <t>Playoff Var</t>
        </is>
      </c>
      <c r="AH1" s="1" t="inlineStr">
        <is>
          <t>Clutch</t>
        </is>
      </c>
      <c r="AI1" s="1" t="inlineStr">
        <is>
          <t>PDO</t>
        </is>
      </c>
      <c r="AJ1" s="1" t="inlineStr">
        <is>
          <t>Raw Score</t>
        </is>
      </c>
      <c r="AK1" s="1" t="inlineStr">
        <is>
          <t>Composite</t>
        </is>
      </c>
      <c r="AL1" s="1" t="inlineStr">
        <is>
          <t>Tier</t>
        </is>
      </c>
      <c r="AM1" s="1" t="inlineStr">
        <is>
          <t>Cup%</t>
        </is>
      </c>
      <c r="AN1" s="1" t="inlineStr">
        <is>
          <t>CI Low</t>
        </is>
      </c>
      <c r="AO1" s="1" t="inlineStr">
        <is>
          <t>CI High</t>
        </is>
      </c>
    </row>
    <row r="2">
      <c r="A2" t="n">
        <v>1</v>
      </c>
      <c r="B2" t="inlineStr">
        <is>
          <t>COL</t>
        </is>
      </c>
      <c r="C2" t="inlineStr">
        <is>
          <t>Colorado Avalanche</t>
        </is>
      </c>
      <c r="D2" t="inlineStr">
        <is>
          <t>West</t>
        </is>
      </c>
      <c r="E2" t="inlineStr">
        <is>
          <t>Central</t>
        </is>
      </c>
      <c r="F2" s="2" t="n">
        <v>48</v>
      </c>
      <c r="G2" s="2" t="n">
        <v>34</v>
      </c>
      <c r="H2" s="2" t="n">
        <v>5</v>
      </c>
      <c r="I2" s="2" t="n">
        <v>9</v>
      </c>
      <c r="J2" s="2" t="n">
        <v>77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>
        <f>K2*0.11+L2*0.09+M2*0.09+N2*0.02+O2*0.05+P2*0.03+Q2*0.02+R2*0.08+S2*0.06+T2*0.06+U2*0.02+V2*0.02+W2*0.015+X2*0.01+Y2*0.005+Z2*0.08+AA2*0.06+AB2*0.05+AC2*0.01+AD2*0.005+AE2*0.005+AF2*0.03+AG2*0.03+AH2*0.02+AI2*0.01</f>
        <v/>
      </c>
      <c r="AK2">
        <f>ROUND(AJ2*10,1)</f>
        <v/>
      </c>
      <c r="AL2">
        <f>IF(AK2&gt;=73,"Elite",IF(AK2&gt;=56,"Contender",IF(AK2&gt;=42,"Bubble","Longshot")))</f>
        <v/>
      </c>
      <c r="AM2" s="2" t="n">
        <v>0</v>
      </c>
      <c r="AN2">
        <f>MAX(0,AM2-1.645*SQRT(AM2*(100-AM2)/100000))</f>
        <v/>
      </c>
      <c r="AO2">
        <f>MIN(100,AM2+1.645*SQRT(AM2*(100-AM2)/100000))</f>
        <v/>
      </c>
    </row>
    <row r="3">
      <c r="A3" t="n">
        <v>2</v>
      </c>
      <c r="B3" t="inlineStr">
        <is>
          <t>CAR</t>
        </is>
      </c>
      <c r="C3" t="inlineStr">
        <is>
          <t>Carolina Hurricanes</t>
        </is>
      </c>
      <c r="D3" t="inlineStr">
        <is>
          <t>East</t>
        </is>
      </c>
      <c r="E3" t="inlineStr">
        <is>
          <t>Metro</t>
        </is>
      </c>
      <c r="F3" s="2" t="n">
        <v>51</v>
      </c>
      <c r="G3" s="2" t="n">
        <v>31</v>
      </c>
      <c r="H3" s="2" t="n">
        <v>15</v>
      </c>
      <c r="I3" s="2" t="n">
        <v>5</v>
      </c>
      <c r="J3" s="2" t="n">
        <v>67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>
        <f>K3*0.11+L3*0.09+M3*0.09+N3*0.02+O3*0.05+P3*0.03+Q3*0.02+R3*0.08+S3*0.06+T3*0.06+U3*0.02+V3*0.02+W3*0.015+X3*0.01+Y3*0.005+Z3*0.08+AA3*0.06+AB3*0.05+AC3*0.01+AD3*0.005+AE3*0.005+AF3*0.03+AG3*0.03+AH3*0.02+AI3*0.01</f>
        <v/>
      </c>
      <c r="AK3">
        <f>ROUND(AJ3*10,1)</f>
        <v/>
      </c>
      <c r="AL3">
        <f>IF(AK3&gt;=73,"Elite",IF(AK3&gt;=56,"Contender",IF(AK3&gt;=42,"Bubble","Longshot")))</f>
        <v/>
      </c>
      <c r="AM3" s="2" t="n">
        <v>0</v>
      </c>
      <c r="AN3">
        <f>MAX(0,AM3-1.645*SQRT(AM3*(100-AM3)/100000))</f>
        <v/>
      </c>
      <c r="AO3">
        <f>MIN(100,AM3+1.645*SQRT(AM3*(100-AM3)/100000))</f>
        <v/>
      </c>
    </row>
    <row r="4">
      <c r="A4" t="n">
        <v>3</v>
      </c>
      <c r="B4" t="inlineStr">
        <is>
          <t>TB</t>
        </is>
      </c>
      <c r="C4" t="inlineStr">
        <is>
          <t>Tampa Bay Lightning</t>
        </is>
      </c>
      <c r="D4" t="inlineStr">
        <is>
          <t>East</t>
        </is>
      </c>
      <c r="E4" t="inlineStr">
        <is>
          <t>Atlantic</t>
        </is>
      </c>
      <c r="F4" s="2" t="n">
        <v>48</v>
      </c>
      <c r="G4" s="2" t="n">
        <v>31</v>
      </c>
      <c r="H4" s="2" t="n">
        <v>13</v>
      </c>
      <c r="I4" s="2" t="n">
        <v>4</v>
      </c>
      <c r="J4" s="2" t="n">
        <v>66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>
        <f>K4*0.11+L4*0.09+M4*0.09+N4*0.02+O4*0.05+P4*0.03+Q4*0.02+R4*0.08+S4*0.06+T4*0.06+U4*0.02+V4*0.02+W4*0.015+X4*0.01+Y4*0.005+Z4*0.08+AA4*0.06+AB4*0.05+AC4*0.01+AD4*0.005+AE4*0.005+AF4*0.03+AG4*0.03+AH4*0.02+AI4*0.01</f>
        <v/>
      </c>
      <c r="AK4">
        <f>ROUND(AJ4*10,1)</f>
        <v/>
      </c>
      <c r="AL4">
        <f>IF(AK4&gt;=73,"Elite",IF(AK4&gt;=56,"Contender",IF(AK4&gt;=42,"Bubble","Longshot")))</f>
        <v/>
      </c>
      <c r="AM4" s="2" t="n">
        <v>0</v>
      </c>
      <c r="AN4">
        <f>MAX(0,AM4-1.645*SQRT(AM4*(100-AM4)/100000))</f>
        <v/>
      </c>
      <c r="AO4">
        <f>MIN(100,AM4+1.645*SQRT(AM4*(100-AM4)/100000))</f>
        <v/>
      </c>
    </row>
    <row r="5">
      <c r="A5" t="n">
        <v>4</v>
      </c>
      <c r="B5" t="inlineStr">
        <is>
          <t>DET</t>
        </is>
      </c>
      <c r="C5" t="inlineStr">
        <is>
          <t>Detroit Red Wings</t>
        </is>
      </c>
      <c r="D5" t="inlineStr">
        <is>
          <t>East</t>
        </is>
      </c>
      <c r="E5" t="inlineStr">
        <is>
          <t>Atlantic</t>
        </is>
      </c>
      <c r="F5" s="2" t="n">
        <v>51</v>
      </c>
      <c r="G5" s="2" t="n">
        <v>31</v>
      </c>
      <c r="H5" s="2" t="n">
        <v>16</v>
      </c>
      <c r="I5" s="2" t="n">
        <v>4</v>
      </c>
      <c r="J5" s="2" t="n">
        <v>66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>
        <f>K5*0.11+L5*0.09+M5*0.09+N5*0.02+O5*0.05+P5*0.03+Q5*0.02+R5*0.08+S5*0.06+T5*0.06+U5*0.02+V5*0.02+W5*0.015+X5*0.01+Y5*0.005+Z5*0.08+AA5*0.06+AB5*0.05+AC5*0.01+AD5*0.005+AE5*0.005+AF5*0.03+AG5*0.03+AH5*0.02+AI5*0.01</f>
        <v/>
      </c>
      <c r="AK5">
        <f>ROUND(AJ5*10,1)</f>
        <v/>
      </c>
      <c r="AL5">
        <f>IF(AK5&gt;=73,"Elite",IF(AK5&gt;=56,"Contender",IF(AK5&gt;=42,"Bubble","Longshot")))</f>
        <v/>
      </c>
      <c r="AM5" s="2" t="n">
        <v>0</v>
      </c>
      <c r="AN5">
        <f>MAX(0,AM5-1.645*SQRT(AM5*(100-AM5)/100000))</f>
        <v/>
      </c>
      <c r="AO5">
        <f>MIN(100,AM5+1.645*SQRT(AM5*(100-AM5)/100000))</f>
        <v/>
      </c>
    </row>
    <row r="6">
      <c r="A6" t="n">
        <v>5</v>
      </c>
      <c r="B6" t="inlineStr">
        <is>
          <t>DAL</t>
        </is>
      </c>
      <c r="C6" t="inlineStr">
        <is>
          <t>Dallas Stars</t>
        </is>
      </c>
      <c r="D6" t="inlineStr">
        <is>
          <t>West</t>
        </is>
      </c>
      <c r="E6" t="inlineStr">
        <is>
          <t>Central</t>
        </is>
      </c>
      <c r="F6" s="2" t="n">
        <v>51</v>
      </c>
      <c r="G6" s="2" t="n">
        <v>28</v>
      </c>
      <c r="H6" s="2" t="n">
        <v>14</v>
      </c>
      <c r="I6" s="2" t="n">
        <v>9</v>
      </c>
      <c r="J6" s="2" t="n">
        <v>65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>
        <f>K6*0.11+L6*0.09+M6*0.09+N6*0.02+O6*0.05+P6*0.03+Q6*0.02+R6*0.08+S6*0.06+T6*0.06+U6*0.02+V6*0.02+W6*0.015+X6*0.01+Y6*0.005+Z6*0.08+AA6*0.06+AB6*0.05+AC6*0.01+AD6*0.005+AE6*0.005+AF6*0.03+AG6*0.03+AH6*0.02+AI6*0.01</f>
        <v/>
      </c>
      <c r="AK6">
        <f>ROUND(AJ6*10,1)</f>
        <v/>
      </c>
      <c r="AL6">
        <f>IF(AK6&gt;=73,"Elite",IF(AK6&gt;=56,"Contender",IF(AK6&gt;=42,"Bubble","Longshot")))</f>
        <v/>
      </c>
      <c r="AM6" s="2" t="n">
        <v>0</v>
      </c>
      <c r="AN6">
        <f>MAX(0,AM6-1.645*SQRT(AM6*(100-AM6)/100000))</f>
        <v/>
      </c>
      <c r="AO6">
        <f>MIN(100,AM6+1.645*SQRT(AM6*(100-AM6)/100000))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NHL FRAMEWORK V7.1 - DATA INPUT</t>
        </is>
      </c>
    </row>
    <row r="3">
      <c r="A3" t="inlineStr">
        <is>
          <t>Data Refresh Timestamp:</t>
        </is>
      </c>
      <c r="B3" s="2" t="inlineStr">
        <is>
          <t>2026-01-26 04:28</t>
        </is>
      </c>
    </row>
    <row r="5">
      <c r="A5" s="4" t="inlineStr">
        <is>
          <t>INSTRUCTIONS:</t>
        </is>
      </c>
    </row>
    <row r="6">
      <c r="A6" t="inlineStr">
        <is>
          <t>1. Yellow cells = INPUT cells</t>
        </is>
      </c>
    </row>
    <row r="7">
      <c r="A7" t="inlineStr">
        <is>
          <t>2. Blue text = hardcoded values to update</t>
        </is>
      </c>
    </row>
    <row r="8">
      <c r="A8" t="inlineStr">
        <is>
          <t>3. Update timestamp when refreshing</t>
        </is>
      </c>
    </row>
    <row r="11">
      <c r="A11" s="4" t="inlineStr">
        <is>
          <t>DATA SOURCES:</t>
        </is>
      </c>
    </row>
    <row r="12">
      <c r="A12" t="inlineStr">
        <is>
          <t>Standings</t>
        </is>
      </c>
      <c r="B12" t="inlineStr">
        <is>
          <t>NHL API</t>
        </is>
      </c>
      <c r="C12" t="inlineStr">
        <is>
          <t>api-web.nhle.com</t>
        </is>
      </c>
    </row>
    <row r="13">
      <c r="A13" t="inlineStr">
        <is>
          <t>GSAx/xG</t>
        </is>
      </c>
      <c r="B13" t="inlineStr">
        <is>
          <t>MoneyPuck</t>
        </is>
      </c>
      <c r="C13" t="inlineStr">
        <is>
          <t>moneypuck.com/data.htm</t>
        </is>
      </c>
    </row>
    <row r="14">
      <c r="A14" t="inlineStr">
        <is>
          <t>HDCF%/CF%</t>
        </is>
      </c>
      <c r="B14" t="inlineStr">
        <is>
          <t>Natural Stat Trick</t>
        </is>
      </c>
      <c r="C14" t="inlineStr">
        <is>
          <t>naturalstattrick.com</t>
        </is>
      </c>
    </row>
    <row r="17">
      <c r="A17" s="4" t="inlineStr">
        <is>
          <t>BANKROLL SETTINGS:</t>
        </is>
      </c>
    </row>
    <row r="18">
      <c r="A18" t="inlineStr">
        <is>
          <t>Total Bankroll ($):</t>
        </is>
      </c>
      <c r="B18" s="2" t="n">
        <v>10000</v>
      </c>
    </row>
    <row r="19">
      <c r="A19" t="inlineStr">
        <is>
          <t>Kelly Fraction:</t>
        </is>
      </c>
      <c r="B19" s="2" t="n">
        <v>0.25</v>
      </c>
      <c r="C19" t="inlineStr">
        <is>
          <t>(0.25 = Quarter Kelly)</t>
        </is>
      </c>
    </row>
    <row r="20">
      <c r="A20" t="inlineStr">
        <is>
          <t>Edge Threshold (%):</t>
        </is>
      </c>
      <c r="B20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Team</t>
        </is>
      </c>
      <c r="B1" s="1" t="inlineStr">
        <is>
          <t>Road W</t>
        </is>
      </c>
      <c r="C1" s="1" t="inlineStr">
        <is>
          <t>Road L</t>
        </is>
      </c>
      <c r="D1" s="1" t="inlineStr">
        <is>
          <t>Road OTL</t>
        </is>
      </c>
      <c r="E1" s="1" t="inlineStr">
        <is>
          <t>Road Win%</t>
        </is>
      </c>
      <c r="F1" s="1" t="inlineStr">
        <is>
          <t>Road GF</t>
        </is>
      </c>
      <c r="G1" s="1" t="inlineStr">
        <is>
          <t>Road GA</t>
        </is>
      </c>
      <c r="H1" s="1" t="inlineStr">
        <is>
          <t>Road GD</t>
        </is>
      </c>
      <c r="I1" s="1" t="inlineStr">
        <is>
          <t>Road GD/GP</t>
        </is>
      </c>
      <c r="J1" s="1" t="inlineStr">
        <is>
          <t>Road SV%</t>
        </is>
      </c>
      <c r="K1" s="1" t="inlineStr">
        <is>
          <t>Road PK%</t>
        </is>
      </c>
      <c r="L1" s="1" t="inlineStr">
        <is>
          <t>Score (5%)</t>
        </is>
      </c>
    </row>
    <row r="2">
      <c r="A2" t="inlineStr">
        <is>
          <t>COL</t>
        </is>
      </c>
      <c r="B2" s="2" t="n">
        <v>0</v>
      </c>
      <c r="C2" s="2" t="n">
        <v>0</v>
      </c>
      <c r="D2" s="2" t="n">
        <v>0</v>
      </c>
      <c r="E2">
        <f>IF(B2+C2+D2&gt;0,(B2+D2*0.5)/(B2+C2+D2),0)</f>
        <v/>
      </c>
      <c r="F2" s="2" t="n">
        <v>0</v>
      </c>
      <c r="G2" s="2" t="n">
        <v>0</v>
      </c>
      <c r="H2" s="2">
        <f>F2-G2</f>
        <v/>
      </c>
      <c r="I2" s="2">
        <f>IF(B2+C2+D2&gt;0,H2/(B2+C2+D2),0)</f>
        <v/>
      </c>
      <c r="J2" s="2" t="n">
        <v>0</v>
      </c>
      <c r="K2" s="2" t="n">
        <v>0</v>
      </c>
      <c r="L2">
        <f>E2*2+I2*1.5+J2*1+K2*0.5</f>
        <v/>
      </c>
    </row>
    <row r="3">
      <c r="A3" t="inlineStr">
        <is>
          <t>CAR</t>
        </is>
      </c>
      <c r="B3" s="2" t="n">
        <v>0</v>
      </c>
      <c r="C3" s="2" t="n">
        <v>0</v>
      </c>
      <c r="D3" s="2" t="n">
        <v>0</v>
      </c>
      <c r="E3">
        <f>IF(B3+C3+D3&gt;0,(B3+D3*0.5)/(B3+C3+D3),0)</f>
        <v/>
      </c>
      <c r="F3" s="2" t="n">
        <v>0</v>
      </c>
      <c r="G3" s="2" t="n">
        <v>0</v>
      </c>
      <c r="H3" s="2">
        <f>F3-G3</f>
        <v/>
      </c>
      <c r="I3" s="2">
        <f>IF(B3+C3+D3&gt;0,H3/(B3+C3+D3),0)</f>
        <v/>
      </c>
      <c r="J3" s="2" t="n">
        <v>0</v>
      </c>
      <c r="K3" s="2" t="n">
        <v>0</v>
      </c>
      <c r="L3">
        <f>E3*2+I3*1.5+J3*1+K3*0.5</f>
        <v/>
      </c>
    </row>
    <row r="4">
      <c r="A4" t="inlineStr">
        <is>
          <t>TB</t>
        </is>
      </c>
      <c r="B4" s="2" t="n">
        <v>0</v>
      </c>
      <c r="C4" s="2" t="n">
        <v>0</v>
      </c>
      <c r="D4" s="2" t="n">
        <v>0</v>
      </c>
      <c r="E4">
        <f>IF(B4+C4+D4&gt;0,(B4+D4*0.5)/(B4+C4+D4),0)</f>
        <v/>
      </c>
      <c r="F4" s="2" t="n">
        <v>0</v>
      </c>
      <c r="G4" s="2" t="n">
        <v>0</v>
      </c>
      <c r="H4" s="2">
        <f>F4-G4</f>
        <v/>
      </c>
      <c r="I4" s="2">
        <f>IF(B4+C4+D4&gt;0,H4/(B4+C4+D4),0)</f>
        <v/>
      </c>
      <c r="J4" s="2" t="n">
        <v>0</v>
      </c>
      <c r="K4" s="2" t="n">
        <v>0</v>
      </c>
      <c r="L4">
        <f>E4*2+I4*1.5+J4*1+K4*0.5</f>
        <v/>
      </c>
    </row>
    <row r="5">
      <c r="A5" t="inlineStr">
        <is>
          <t>DET</t>
        </is>
      </c>
      <c r="B5" s="2" t="n">
        <v>0</v>
      </c>
      <c r="C5" s="2" t="n">
        <v>0</v>
      </c>
      <c r="D5" s="2" t="n">
        <v>0</v>
      </c>
      <c r="E5">
        <f>IF(B5+C5+D5&gt;0,(B5+D5*0.5)/(B5+C5+D5),0)</f>
        <v/>
      </c>
      <c r="F5" s="2" t="n">
        <v>0</v>
      </c>
      <c r="G5" s="2" t="n">
        <v>0</v>
      </c>
      <c r="H5" s="2">
        <f>F5-G5</f>
        <v/>
      </c>
      <c r="I5" s="2">
        <f>IF(B5+C5+D5&gt;0,H5/(B5+C5+D5),0)</f>
        <v/>
      </c>
      <c r="J5" s="2" t="n">
        <v>0</v>
      </c>
      <c r="K5" s="2" t="n">
        <v>0</v>
      </c>
      <c r="L5">
        <f>E5*2+I5*1.5+J5*1+K5*0.5</f>
        <v/>
      </c>
    </row>
    <row r="6">
      <c r="A6" t="inlineStr">
        <is>
          <t>DAL</t>
        </is>
      </c>
      <c r="B6" s="2" t="n">
        <v>0</v>
      </c>
      <c r="C6" s="2" t="n">
        <v>0</v>
      </c>
      <c r="D6" s="2" t="n">
        <v>0</v>
      </c>
      <c r="E6">
        <f>IF(B6+C6+D6&gt;0,(B6+D6*0.5)/(B6+C6+D6),0)</f>
        <v/>
      </c>
      <c r="F6" s="2" t="n">
        <v>0</v>
      </c>
      <c r="G6" s="2" t="n">
        <v>0</v>
      </c>
      <c r="H6" s="2">
        <f>F6-G6</f>
        <v/>
      </c>
      <c r="I6" s="2">
        <f>IF(B6+C6+D6&gt;0,H6/(B6+C6+D6),0)</f>
        <v/>
      </c>
      <c r="J6" s="2" t="n">
        <v>0</v>
      </c>
      <c r="K6" s="2" t="n">
        <v>0</v>
      </c>
      <c r="L6">
        <f>E6*2+I6*1.5+J6*1+K6*0.5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Team</t>
        </is>
      </c>
      <c r="B1" s="1" t="inlineStr">
        <is>
          <t>Starter</t>
        </is>
      </c>
      <c r="C1" s="1" t="inlineStr">
        <is>
          <t>Season GSAx</t>
        </is>
      </c>
      <c r="D1" s="1" t="inlineStr">
        <is>
          <t>30-Day GSAx</t>
        </is>
      </c>
      <c r="E1" s="1" t="inlineStr">
        <is>
          <t>HD SV%</t>
        </is>
      </c>
      <c r="F1" s="1" t="inlineStr">
        <is>
          <t>Backup</t>
        </is>
      </c>
      <c r="G1" s="1" t="inlineStr">
        <is>
          <t>Backup GSAx</t>
        </is>
      </c>
      <c r="H1" s="1" t="inlineStr">
        <is>
          <t>GSAx Rank</t>
        </is>
      </c>
      <c r="I1" s="1" t="inlineStr">
        <is>
          <t>30D Rank</t>
        </is>
      </c>
      <c r="J1" s="1" t="inlineStr">
        <is>
          <t>HD Rank</t>
        </is>
      </c>
      <c r="K1" s="1" t="inlineStr">
        <is>
          <t>Season Score</t>
        </is>
      </c>
      <c r="L1" s="1" t="inlineStr">
        <is>
          <t>30D Score</t>
        </is>
      </c>
      <c r="M1" s="1" t="inlineStr">
        <is>
          <t>HD Score</t>
        </is>
      </c>
      <c r="N1" s="1" t="inlineStr">
        <is>
          <t>Backup Bonus</t>
        </is>
      </c>
      <c r="O1" s="1" t="inlineStr">
        <is>
          <t>Total (11%)</t>
        </is>
      </c>
    </row>
    <row r="2">
      <c r="A2" t="inlineStr">
        <is>
          <t>COL</t>
        </is>
      </c>
      <c r="B2" t="inlineStr">
        <is>
          <t>[Starter]</t>
        </is>
      </c>
      <c r="C2" s="2" t="n">
        <v>0</v>
      </c>
      <c r="D2" s="2" t="n">
        <v>0</v>
      </c>
      <c r="E2" s="2" t="n">
        <v>0</v>
      </c>
      <c r="F2" t="inlineStr">
        <is>
          <t>[Backup]</t>
        </is>
      </c>
      <c r="G2" s="2" t="n">
        <v>0</v>
      </c>
      <c r="H2">
        <f>RANK(C2,$C$2:$C$33,0)</f>
        <v/>
      </c>
      <c r="I2">
        <f>RANK(D2,$D$2:$D$33,0)</f>
        <v/>
      </c>
      <c r="J2">
        <f>RANK(E2,$E$2:$E$33,0)</f>
        <v/>
      </c>
      <c r="K2">
        <f>5/(1+EXP(0.35*(H2-14)))</f>
        <v/>
      </c>
      <c r="L2">
        <f>3/(1+EXP(0.35*(I2-14)))</f>
        <v/>
      </c>
      <c r="M2">
        <f>2*MAX(-1,MIN(1,(E2-0.82)/(0.85-0.82)))</f>
        <v/>
      </c>
      <c r="N2">
        <f>MIN(1,MAX(0,G2*0.1))</f>
        <v/>
      </c>
      <c r="O2">
        <f>MIN(12,K2+L2+M2+N2)</f>
        <v/>
      </c>
    </row>
    <row r="3">
      <c r="A3" t="inlineStr">
        <is>
          <t>CAR</t>
        </is>
      </c>
      <c r="B3" t="inlineStr">
        <is>
          <t>[Starter]</t>
        </is>
      </c>
      <c r="C3" s="2" t="n">
        <v>0</v>
      </c>
      <c r="D3" s="2" t="n">
        <v>0</v>
      </c>
      <c r="E3" s="2" t="n">
        <v>0</v>
      </c>
      <c r="F3" t="inlineStr">
        <is>
          <t>[Backup]</t>
        </is>
      </c>
      <c r="G3" s="2" t="n">
        <v>0</v>
      </c>
      <c r="H3">
        <f>RANK(C3,$C$2:$C$33,0)</f>
        <v/>
      </c>
      <c r="I3">
        <f>RANK(D3,$D$2:$D$33,0)</f>
        <v/>
      </c>
      <c r="J3">
        <f>RANK(E3,$E$2:$E$33,0)</f>
        <v/>
      </c>
      <c r="K3">
        <f>5/(1+EXP(0.35*(H3-14)))</f>
        <v/>
      </c>
      <c r="L3">
        <f>3/(1+EXP(0.35*(I3-14)))</f>
        <v/>
      </c>
      <c r="M3">
        <f>2*MAX(-1,MIN(1,(E3-0.82)/(0.85-0.82)))</f>
        <v/>
      </c>
      <c r="N3">
        <f>MIN(1,MAX(0,G3*0.1))</f>
        <v/>
      </c>
      <c r="O3">
        <f>MIN(12,K3+L3+M3+N3)</f>
        <v/>
      </c>
    </row>
    <row r="4">
      <c r="A4" t="inlineStr">
        <is>
          <t>TB</t>
        </is>
      </c>
      <c r="B4" t="inlineStr">
        <is>
          <t>[Starter]</t>
        </is>
      </c>
      <c r="C4" s="2" t="n">
        <v>0</v>
      </c>
      <c r="D4" s="2" t="n">
        <v>0</v>
      </c>
      <c r="E4" s="2" t="n">
        <v>0</v>
      </c>
      <c r="F4" t="inlineStr">
        <is>
          <t>[Backup]</t>
        </is>
      </c>
      <c r="G4" s="2" t="n">
        <v>0</v>
      </c>
      <c r="H4">
        <f>RANK(C4,$C$2:$C$33,0)</f>
        <v/>
      </c>
      <c r="I4">
        <f>RANK(D4,$D$2:$D$33,0)</f>
        <v/>
      </c>
      <c r="J4">
        <f>RANK(E4,$E$2:$E$33,0)</f>
        <v/>
      </c>
      <c r="K4">
        <f>5/(1+EXP(0.35*(H4-14)))</f>
        <v/>
      </c>
      <c r="L4">
        <f>3/(1+EXP(0.35*(I4-14)))</f>
        <v/>
      </c>
      <c r="M4">
        <f>2*MAX(-1,MIN(1,(E4-0.82)/(0.85-0.82)))</f>
        <v/>
      </c>
      <c r="N4">
        <f>MIN(1,MAX(0,G4*0.1))</f>
        <v/>
      </c>
      <c r="O4">
        <f>MIN(12,K4+L4+M4+N4)</f>
        <v/>
      </c>
    </row>
    <row r="5">
      <c r="A5" t="inlineStr">
        <is>
          <t>DET</t>
        </is>
      </c>
      <c r="B5" t="inlineStr">
        <is>
          <t>[Starter]</t>
        </is>
      </c>
      <c r="C5" s="2" t="n">
        <v>0</v>
      </c>
      <c r="D5" s="2" t="n">
        <v>0</v>
      </c>
      <c r="E5" s="2" t="n">
        <v>0</v>
      </c>
      <c r="F5" t="inlineStr">
        <is>
          <t>[Backup]</t>
        </is>
      </c>
      <c r="G5" s="2" t="n">
        <v>0</v>
      </c>
      <c r="H5">
        <f>RANK(C5,$C$2:$C$33,0)</f>
        <v/>
      </c>
      <c r="I5">
        <f>RANK(D5,$D$2:$D$33,0)</f>
        <v/>
      </c>
      <c r="J5">
        <f>RANK(E5,$E$2:$E$33,0)</f>
        <v/>
      </c>
      <c r="K5">
        <f>5/(1+EXP(0.35*(H5-14)))</f>
        <v/>
      </c>
      <c r="L5">
        <f>3/(1+EXP(0.35*(I5-14)))</f>
        <v/>
      </c>
      <c r="M5">
        <f>2*MAX(-1,MIN(1,(E5-0.82)/(0.85-0.82)))</f>
        <v/>
      </c>
      <c r="N5">
        <f>MIN(1,MAX(0,G5*0.1))</f>
        <v/>
      </c>
      <c r="O5">
        <f>MIN(12,K5+L5+M5+N5)</f>
        <v/>
      </c>
    </row>
    <row r="6">
      <c r="A6" t="inlineStr">
        <is>
          <t>DAL</t>
        </is>
      </c>
      <c r="B6" t="inlineStr">
        <is>
          <t>[Starter]</t>
        </is>
      </c>
      <c r="C6" s="2" t="n">
        <v>0</v>
      </c>
      <c r="D6" s="2" t="n">
        <v>0</v>
      </c>
      <c r="E6" s="2" t="n">
        <v>0</v>
      </c>
      <c r="F6" t="inlineStr">
        <is>
          <t>[Backup]</t>
        </is>
      </c>
      <c r="G6" s="2" t="n">
        <v>0</v>
      </c>
      <c r="H6">
        <f>RANK(C6,$C$2:$C$33,0)</f>
        <v/>
      </c>
      <c r="I6">
        <f>RANK(D6,$D$2:$D$33,0)</f>
        <v/>
      </c>
      <c r="J6">
        <f>RANK(E6,$E$2:$E$33,0)</f>
        <v/>
      </c>
      <c r="K6">
        <f>5/(1+EXP(0.35*(H6-14)))</f>
        <v/>
      </c>
      <c r="L6">
        <f>3/(1+EXP(0.35*(I6-14)))</f>
        <v/>
      </c>
      <c r="M6">
        <f>2*MAX(-1,MIN(1,(E6-0.82)/(0.85-0.82)))</f>
        <v/>
      </c>
      <c r="N6">
        <f>MIN(1,MAX(0,G6*0.1))</f>
        <v/>
      </c>
      <c r="O6">
        <f>MIN(12,K6+L6+M6+N6)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PLAYOFF BRACKET SIMULATION</t>
        </is>
      </c>
    </row>
    <row r="3">
      <c r="A3" s="4" t="inlineStr">
        <is>
          <t>EASTERN CONFERENCE</t>
        </is>
      </c>
    </row>
    <row r="4">
      <c r="A4" s="1" t="inlineStr">
        <is>
          <t>Seed</t>
        </is>
      </c>
      <c r="B4" s="1" t="inlineStr">
        <is>
          <t>Team</t>
        </is>
      </c>
      <c r="C4" s="1" t="inlineStr">
        <is>
          <t>Score</t>
        </is>
      </c>
      <c r="D4" s="1" t="inlineStr">
        <is>
          <t>R1 Win%</t>
        </is>
      </c>
      <c r="E4" s="1" t="inlineStr">
        <is>
          <t>R2 Win%</t>
        </is>
      </c>
      <c r="F4" s="1" t="inlineStr">
        <is>
          <t>CF Win%</t>
        </is>
      </c>
      <c r="G4" s="1" t="inlineStr">
        <is>
          <t>Cup Win%</t>
        </is>
      </c>
    </row>
    <row r="5">
      <c r="A5" t="inlineStr">
        <is>
          <t>E1</t>
        </is>
      </c>
      <c r="B5" s="5" t="inlineStr">
        <is>
          <t>[Team]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</row>
    <row r="6">
      <c r="A6" t="inlineStr">
        <is>
          <t>E8</t>
        </is>
      </c>
      <c r="B6" s="5" t="inlineStr">
        <is>
          <t>[Team]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  <row r="7">
      <c r="A7" t="inlineStr">
        <is>
          <t>E4</t>
        </is>
      </c>
      <c r="B7" s="5" t="inlineStr">
        <is>
          <t>[Team]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t="inlineStr">
        <is>
          <t>E5</t>
        </is>
      </c>
      <c r="B8" s="5" t="inlineStr">
        <is>
          <t>[Team]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t="inlineStr">
        <is>
          <t>E3</t>
        </is>
      </c>
      <c r="B9" s="5" t="inlineStr">
        <is>
          <t>[Team]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t="inlineStr">
        <is>
          <t>E6</t>
        </is>
      </c>
      <c r="B10" s="5" t="inlineStr">
        <is>
          <t>[Team]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t="inlineStr">
        <is>
          <t>E2</t>
        </is>
      </c>
      <c r="B11" s="5" t="inlineStr">
        <is>
          <t>[Team]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A12" t="inlineStr">
        <is>
          <t>E7</t>
        </is>
      </c>
      <c r="B12" s="5" t="inlineStr">
        <is>
          <t>[Team]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4">
      <c r="A14" s="4" t="inlineStr">
        <is>
          <t>WESTERN CONFERENCE</t>
        </is>
      </c>
    </row>
    <row r="15">
      <c r="A15" s="1" t="inlineStr">
        <is>
          <t>Seed</t>
        </is>
      </c>
      <c r="B15" s="1" t="inlineStr">
        <is>
          <t>Team</t>
        </is>
      </c>
      <c r="C15" s="1" t="inlineStr">
        <is>
          <t>Score</t>
        </is>
      </c>
      <c r="D15" s="1" t="inlineStr">
        <is>
          <t>R1 Win%</t>
        </is>
      </c>
      <c r="E15" s="1" t="inlineStr">
        <is>
          <t>R2 Win%</t>
        </is>
      </c>
      <c r="F15" s="1" t="inlineStr">
        <is>
          <t>CF Win%</t>
        </is>
      </c>
      <c r="G15" s="1" t="inlineStr">
        <is>
          <t>Cup Win%</t>
        </is>
      </c>
    </row>
    <row r="16">
      <c r="A16" t="inlineStr">
        <is>
          <t>W1</t>
        </is>
      </c>
      <c r="B16" s="5" t="inlineStr">
        <is>
          <t>[Team]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>
      <c r="A17" t="inlineStr">
        <is>
          <t>W8</t>
        </is>
      </c>
      <c r="B17" s="5" t="inlineStr">
        <is>
          <t>[Team]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</row>
    <row r="18">
      <c r="A18" t="inlineStr">
        <is>
          <t>W4</t>
        </is>
      </c>
      <c r="B18" s="5" t="inlineStr">
        <is>
          <t>[Team]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</row>
    <row r="19">
      <c r="A19" t="inlineStr">
        <is>
          <t>W5</t>
        </is>
      </c>
      <c r="B19" s="5" t="inlineStr">
        <is>
          <t>[Team]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A20" t="inlineStr">
        <is>
          <t>W3</t>
        </is>
      </c>
      <c r="B20" s="5" t="inlineStr">
        <is>
          <t>[Team]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>
      <c r="A21" t="inlineStr">
        <is>
          <t>W6</t>
        </is>
      </c>
      <c r="B21" s="5" t="inlineStr">
        <is>
          <t>[Team]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</row>
    <row r="22">
      <c r="A22" t="inlineStr">
        <is>
          <t>W2</t>
        </is>
      </c>
      <c r="B22" s="5" t="inlineStr">
        <is>
          <t>[Team]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</row>
    <row r="23">
      <c r="A23" t="inlineStr">
        <is>
          <t>W7</t>
        </is>
      </c>
      <c r="B23" s="5" t="inlineStr">
        <is>
          <t>[Team]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STANLEY CUP PROBABILITY - MONTE CARLO</t>
        </is>
      </c>
    </row>
    <row r="3">
      <c r="A3" t="inlineStr">
        <is>
          <t>Iterations: 100,000</t>
        </is>
      </c>
    </row>
    <row r="4">
      <c r="A4" t="inlineStr">
        <is>
          <t>Home Ice: 4%</t>
        </is>
      </c>
    </row>
    <row r="5">
      <c r="A5" t="inlineStr">
        <is>
          <t>Variance Factor: 12%</t>
        </is>
      </c>
    </row>
    <row r="7">
      <c r="A7" s="1" t="inlineStr">
        <is>
          <t>Rank</t>
        </is>
      </c>
      <c r="B7" s="1" t="inlineStr">
        <is>
          <t>Team</t>
        </is>
      </c>
      <c r="C7" s="1" t="inlineStr">
        <is>
          <t>Cup Prob%</t>
        </is>
      </c>
      <c r="D7" s="1" t="inlineStr">
        <is>
          <t>CI Low</t>
        </is>
      </c>
      <c r="E7" s="1" t="inlineStr">
        <is>
          <t>CI High</t>
        </is>
      </c>
      <c r="F7" s="1" t="inlineStr">
        <is>
          <t>Implied Odds</t>
        </is>
      </c>
      <c r="G7" s="1" t="inlineStr">
        <is>
          <t>Path Diff</t>
        </is>
      </c>
      <c r="H7" s="1" t="inlineStr">
        <is>
          <t>Adj Prob%</t>
        </is>
      </c>
    </row>
    <row r="8">
      <c r="A8" t="n">
        <v>1</v>
      </c>
      <c r="B8" s="5" t="inlineStr">
        <is>
          <t>[Team]</t>
        </is>
      </c>
      <c r="C8" s="5" t="n">
        <v>0</v>
      </c>
      <c r="D8">
        <f>MAX(0,C8-1.645*SQRT(C8*(100-C8)/100000))</f>
        <v/>
      </c>
      <c r="E8">
        <f>MIN(100,C8+1.645*SQRT(C8*(100-C8)/100000))</f>
        <v/>
      </c>
      <c r="F8">
        <f>IF(C8&gt;50,"-"&amp;ROUND((C8/(100-C8))*100,0),"+"&amp;ROUND(((100-C8)/C8)*100,0))</f>
        <v/>
      </c>
      <c r="G8" s="5" t="n">
        <v>1</v>
      </c>
      <c r="H8">
        <f>C8*G8</f>
        <v/>
      </c>
    </row>
    <row r="9">
      <c r="A9" t="n">
        <v>2</v>
      </c>
      <c r="B9" s="5" t="inlineStr">
        <is>
          <t>[Team]</t>
        </is>
      </c>
      <c r="C9" s="5" t="n">
        <v>0</v>
      </c>
      <c r="D9">
        <f>MAX(0,C9-1.645*SQRT(C9*(100-C9)/100000))</f>
        <v/>
      </c>
      <c r="E9">
        <f>MIN(100,C9+1.645*SQRT(C9*(100-C9)/100000))</f>
        <v/>
      </c>
      <c r="F9">
        <f>IF(C9&gt;50,"-"&amp;ROUND((C9/(100-C9))*100,0),"+"&amp;ROUND(((100-C9)/C9)*100,0))</f>
        <v/>
      </c>
      <c r="G9" s="5" t="n">
        <v>1</v>
      </c>
      <c r="H9">
        <f>C9*G9</f>
        <v/>
      </c>
    </row>
    <row r="10">
      <c r="A10" t="n">
        <v>3</v>
      </c>
      <c r="B10" s="5" t="inlineStr">
        <is>
          <t>[Team]</t>
        </is>
      </c>
      <c r="C10" s="5" t="n">
        <v>0</v>
      </c>
      <c r="D10">
        <f>MAX(0,C10-1.645*SQRT(C10*(100-C10)/100000))</f>
        <v/>
      </c>
      <c r="E10">
        <f>MIN(100,C10+1.645*SQRT(C10*(100-C10)/100000))</f>
        <v/>
      </c>
      <c r="F10">
        <f>IF(C10&gt;50,"-"&amp;ROUND((C10/(100-C10))*100,0),"+"&amp;ROUND(((100-C10)/C10)*100,0))</f>
        <v/>
      </c>
      <c r="G10" s="5" t="n">
        <v>1</v>
      </c>
      <c r="H10">
        <f>C10*G10</f>
        <v/>
      </c>
    </row>
    <row r="11">
      <c r="A11" t="n">
        <v>4</v>
      </c>
      <c r="B11" s="5" t="inlineStr">
        <is>
          <t>[Team]</t>
        </is>
      </c>
      <c r="C11" s="5" t="n">
        <v>0</v>
      </c>
      <c r="D11">
        <f>MAX(0,C11-1.645*SQRT(C11*(100-C11)/100000))</f>
        <v/>
      </c>
      <c r="E11">
        <f>MIN(100,C11+1.645*SQRT(C11*(100-C11)/100000))</f>
        <v/>
      </c>
      <c r="F11">
        <f>IF(C11&gt;50,"-"&amp;ROUND((C11/(100-C11))*100,0),"+"&amp;ROUND(((100-C11)/C11)*100,0))</f>
        <v/>
      </c>
      <c r="G11" s="5" t="n">
        <v>1</v>
      </c>
      <c r="H11">
        <f>C11*G11</f>
        <v/>
      </c>
    </row>
    <row r="12">
      <c r="A12" t="n">
        <v>5</v>
      </c>
      <c r="B12" s="5" t="inlineStr">
        <is>
          <t>[Team]</t>
        </is>
      </c>
      <c r="C12" s="5" t="n">
        <v>0</v>
      </c>
      <c r="D12">
        <f>MAX(0,C12-1.645*SQRT(C12*(100-C12)/100000))</f>
        <v/>
      </c>
      <c r="E12">
        <f>MIN(100,C12+1.645*SQRT(C12*(100-C12)/100000))</f>
        <v/>
      </c>
      <c r="F12">
        <f>IF(C12&gt;50,"-"&amp;ROUND((C12/(100-C12))*100,0),"+"&amp;ROUND(((100-C12)/C12)*100,0))</f>
        <v/>
      </c>
      <c r="G12" s="5" t="n">
        <v>1</v>
      </c>
      <c r="H12">
        <f>C12*G12</f>
        <v/>
      </c>
    </row>
    <row r="13">
      <c r="A13" t="n">
        <v>6</v>
      </c>
      <c r="B13" s="5" t="inlineStr">
        <is>
          <t>[Team]</t>
        </is>
      </c>
      <c r="C13" s="5" t="n">
        <v>0</v>
      </c>
      <c r="D13">
        <f>MAX(0,C13-1.645*SQRT(C13*(100-C13)/100000))</f>
        <v/>
      </c>
      <c r="E13">
        <f>MIN(100,C13+1.645*SQRT(C13*(100-C13)/100000))</f>
        <v/>
      </c>
      <c r="F13">
        <f>IF(C13&gt;50,"-"&amp;ROUND((C13/(100-C13))*100,0),"+"&amp;ROUND(((100-C13)/C13)*100,0))</f>
        <v/>
      </c>
      <c r="G13" s="5" t="n">
        <v>1</v>
      </c>
      <c r="H13">
        <f>C13*G13</f>
        <v/>
      </c>
    </row>
    <row r="14">
      <c r="A14" t="n">
        <v>7</v>
      </c>
      <c r="B14" s="5" t="inlineStr">
        <is>
          <t>[Team]</t>
        </is>
      </c>
      <c r="C14" s="5" t="n">
        <v>0</v>
      </c>
      <c r="D14">
        <f>MAX(0,C14-1.645*SQRT(C14*(100-C14)/100000))</f>
        <v/>
      </c>
      <c r="E14">
        <f>MIN(100,C14+1.645*SQRT(C14*(100-C14)/100000))</f>
        <v/>
      </c>
      <c r="F14">
        <f>IF(C14&gt;50,"-"&amp;ROUND((C14/(100-C14))*100,0),"+"&amp;ROUND(((100-C14)/C14)*100,0))</f>
        <v/>
      </c>
      <c r="G14" s="5" t="n">
        <v>1</v>
      </c>
      <c r="H14">
        <f>C14*G14</f>
        <v/>
      </c>
    </row>
    <row r="15">
      <c r="A15" t="n">
        <v>8</v>
      </c>
      <c r="B15" s="5" t="inlineStr">
        <is>
          <t>[Team]</t>
        </is>
      </c>
      <c r="C15" s="5" t="n">
        <v>0</v>
      </c>
      <c r="D15">
        <f>MAX(0,C15-1.645*SQRT(C15*(100-C15)/100000))</f>
        <v/>
      </c>
      <c r="E15">
        <f>MIN(100,C15+1.645*SQRT(C15*(100-C15)/100000))</f>
        <v/>
      </c>
      <c r="F15">
        <f>IF(C15&gt;50,"-"&amp;ROUND((C15/(100-C15))*100,0),"+"&amp;ROUND(((100-C15)/C15)*100,0))</f>
        <v/>
      </c>
      <c r="G15" s="5" t="n">
        <v>1</v>
      </c>
      <c r="H15">
        <f>C15*G15</f>
        <v/>
      </c>
    </row>
    <row r="16">
      <c r="A16" t="n">
        <v>9</v>
      </c>
      <c r="B16" s="5" t="inlineStr">
        <is>
          <t>[Team]</t>
        </is>
      </c>
      <c r="C16" s="5" t="n">
        <v>0</v>
      </c>
      <c r="D16">
        <f>MAX(0,C16-1.645*SQRT(C16*(100-C16)/100000))</f>
        <v/>
      </c>
      <c r="E16">
        <f>MIN(100,C16+1.645*SQRT(C16*(100-C16)/100000))</f>
        <v/>
      </c>
      <c r="F16">
        <f>IF(C16&gt;50,"-"&amp;ROUND((C16/(100-C16))*100,0),"+"&amp;ROUND(((100-C16)/C16)*100,0))</f>
        <v/>
      </c>
      <c r="G16" s="5" t="n">
        <v>1</v>
      </c>
      <c r="H16">
        <f>C16*G16</f>
        <v/>
      </c>
    </row>
    <row r="17">
      <c r="A17" t="n">
        <v>10</v>
      </c>
      <c r="B17" s="5" t="inlineStr">
        <is>
          <t>[Team]</t>
        </is>
      </c>
      <c r="C17" s="5" t="n">
        <v>0</v>
      </c>
      <c r="D17">
        <f>MAX(0,C17-1.645*SQRT(C17*(100-C17)/100000))</f>
        <v/>
      </c>
      <c r="E17">
        <f>MIN(100,C17+1.645*SQRT(C17*(100-C17)/100000))</f>
        <v/>
      </c>
      <c r="F17">
        <f>IF(C17&gt;50,"-"&amp;ROUND((C17/(100-C17))*100,0),"+"&amp;ROUND(((100-C17)/C17)*100,0))</f>
        <v/>
      </c>
      <c r="G17" s="5" t="n">
        <v>1</v>
      </c>
      <c r="H17">
        <f>C17*G17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BETTING VALUE IDENTIFICATION</t>
        </is>
      </c>
    </row>
    <row r="3">
      <c r="A3" t="inlineStr">
        <is>
          <t>Bankroll:</t>
        </is>
      </c>
      <c r="B3">
        <f>'Data Input'!B18</f>
        <v/>
      </c>
    </row>
    <row r="4">
      <c r="A4" t="inlineStr">
        <is>
          <t>Kelly Fraction:</t>
        </is>
      </c>
      <c r="B4">
        <f>'Data Input'!B19</f>
        <v/>
      </c>
    </row>
    <row r="5">
      <c r="A5" t="inlineStr">
        <is>
          <t>Edge Threshold:</t>
        </is>
      </c>
      <c r="B5">
        <f>'Data Input'!B20</f>
        <v/>
      </c>
    </row>
    <row r="7">
      <c r="A7" t="inlineStr">
        <is>
          <t>FUTURES VALUE:</t>
        </is>
      </c>
    </row>
    <row r="8">
      <c r="A8" s="1" t="inlineStr">
        <is>
          <t>Team</t>
        </is>
      </c>
      <c r="B8" s="1" t="inlineStr">
        <is>
          <t>Model Prob%</t>
        </is>
      </c>
      <c r="C8" s="1" t="inlineStr">
        <is>
          <t>Odds</t>
        </is>
      </c>
      <c r="D8" s="1" t="inlineStr">
        <is>
          <t>Implied%</t>
        </is>
      </c>
      <c r="E8" s="1" t="inlineStr">
        <is>
          <t>Edge%</t>
        </is>
      </c>
      <c r="F8" s="1" t="inlineStr">
        <is>
          <t>Full Kelly%</t>
        </is>
      </c>
      <c r="G8" s="1" t="inlineStr">
        <is>
          <t>Qtr Kelly%</t>
        </is>
      </c>
      <c r="H8" s="1" t="inlineStr">
        <is>
          <t>Bet Size</t>
        </is>
      </c>
      <c r="I8" s="1" t="inlineStr">
        <is>
          <t>Value?</t>
        </is>
      </c>
    </row>
    <row r="9">
      <c r="A9" t="inlineStr">
        <is>
          <t>[Team]</t>
        </is>
      </c>
      <c r="B9" s="5" t="n">
        <v>0</v>
      </c>
      <c r="C9" s="2" t="n">
        <v>0</v>
      </c>
      <c r="D9">
        <f>IF(C9&gt;0,100/(C9+100),ABS(C9)/(ABS(C9)+100))*100</f>
        <v/>
      </c>
      <c r="E9">
        <f>B9-D9</f>
        <v/>
      </c>
      <c r="F9">
        <f>IF(C9=0,0,IF(C9&gt;0,((((C9/100)+1)*(B9/100))-(1-B9/100))/((C9/100)),((((100/ABS(C9))+1)*(B9/100))-(1-B9/100))/((100/ABS(C9)))))*100</f>
        <v/>
      </c>
      <c r="G9">
        <f>F9*$B$4</f>
        <v/>
      </c>
      <c r="H9">
        <f>MAX(0,ROUND(G9/100*$B$3,2))</f>
        <v/>
      </c>
      <c r="I9">
        <f>IF(E9&gt;$B$5,"YES","NO")</f>
        <v/>
      </c>
    </row>
    <row r="10">
      <c r="A10" t="inlineStr">
        <is>
          <t>[Team]</t>
        </is>
      </c>
      <c r="B10" s="5" t="n">
        <v>0</v>
      </c>
      <c r="C10" s="2" t="n">
        <v>0</v>
      </c>
      <c r="D10">
        <f>IF(C10&gt;0,100/(C10+100),ABS(C10)/(ABS(C10)+100))*100</f>
        <v/>
      </c>
      <c r="E10">
        <f>B10-D10</f>
        <v/>
      </c>
      <c r="F10">
        <f>IF(C10=0,0,IF(C10&gt;0,((((C10/100)+1)*(B10/100))-(1-B10/100))/((C10/100)),((((100/ABS(C10))+1)*(B10/100))-(1-B10/100))/((100/ABS(C10)))))*100</f>
        <v/>
      </c>
      <c r="G10">
        <f>F10*$B$4</f>
        <v/>
      </c>
      <c r="H10">
        <f>MAX(0,ROUND(G10/100*$B$3,2))</f>
        <v/>
      </c>
      <c r="I10">
        <f>IF(E10&gt;$B$5,"YES","NO")</f>
        <v/>
      </c>
    </row>
    <row r="11">
      <c r="A11" t="inlineStr">
        <is>
          <t>[Team]</t>
        </is>
      </c>
      <c r="B11" s="5" t="n">
        <v>0</v>
      </c>
      <c r="C11" s="2" t="n">
        <v>0</v>
      </c>
      <c r="D11">
        <f>IF(C11&gt;0,100/(C11+100),ABS(C11)/(ABS(C11)+100))*100</f>
        <v/>
      </c>
      <c r="E11">
        <f>B11-D11</f>
        <v/>
      </c>
      <c r="F11">
        <f>IF(C11=0,0,IF(C11&gt;0,((((C11/100)+1)*(B11/100))-(1-B11/100))/((C11/100)),((((100/ABS(C11))+1)*(B11/100))-(1-B11/100))/((100/ABS(C11)))))*100</f>
        <v/>
      </c>
      <c r="G11">
        <f>F11*$B$4</f>
        <v/>
      </c>
      <c r="H11">
        <f>MAX(0,ROUND(G11/100*$B$3,2))</f>
        <v/>
      </c>
      <c r="I11">
        <f>IF(E11&gt;$B$5,"YES","NO")</f>
        <v/>
      </c>
    </row>
    <row r="12">
      <c r="A12" t="inlineStr">
        <is>
          <t>[Team]</t>
        </is>
      </c>
      <c r="B12" s="5" t="n">
        <v>0</v>
      </c>
      <c r="C12" s="2" t="n">
        <v>0</v>
      </c>
      <c r="D12">
        <f>IF(C12&gt;0,100/(C12+100),ABS(C12)/(ABS(C12)+100))*100</f>
        <v/>
      </c>
      <c r="E12">
        <f>B12-D12</f>
        <v/>
      </c>
      <c r="F12">
        <f>IF(C12=0,0,IF(C12&gt;0,((((C12/100)+1)*(B12/100))-(1-B12/100))/((C12/100)),((((100/ABS(C12))+1)*(B12/100))-(1-B12/100))/((100/ABS(C12)))))*100</f>
        <v/>
      </c>
      <c r="G12">
        <f>F12*$B$4</f>
        <v/>
      </c>
      <c r="H12">
        <f>MAX(0,ROUND(G12/100*$B$3,2))</f>
        <v/>
      </c>
      <c r="I12">
        <f>IF(E12&gt;$B$5,"YES","NO")</f>
        <v/>
      </c>
    </row>
    <row r="13">
      <c r="A13" t="inlineStr">
        <is>
          <t>[Team]</t>
        </is>
      </c>
      <c r="B13" s="5" t="n">
        <v>0</v>
      </c>
      <c r="C13" s="2" t="n">
        <v>0</v>
      </c>
      <c r="D13">
        <f>IF(C13&gt;0,100/(C13+100),ABS(C13)/(ABS(C13)+100))*100</f>
        <v/>
      </c>
      <c r="E13">
        <f>B13-D13</f>
        <v/>
      </c>
      <c r="F13">
        <f>IF(C13=0,0,IF(C13&gt;0,((((C13/100)+1)*(B13/100))-(1-B13/100))/((C13/100)),((((100/ABS(C13))+1)*(B13/100))-(1-B13/100))/((100/ABS(C13)))))*100</f>
        <v/>
      </c>
      <c r="G13">
        <f>F13*$B$4</f>
        <v/>
      </c>
      <c r="H13">
        <f>MAX(0,ROUND(G13/100*$B$3,2))</f>
        <v/>
      </c>
      <c r="I13">
        <f>IF(E13&gt;$B$5,"YES","NO")</f>
        <v/>
      </c>
    </row>
    <row r="14">
      <c r="A14" t="inlineStr">
        <is>
          <t>[Team]</t>
        </is>
      </c>
      <c r="B14" s="5" t="n">
        <v>0</v>
      </c>
      <c r="C14" s="2" t="n">
        <v>0</v>
      </c>
      <c r="D14">
        <f>IF(C14&gt;0,100/(C14+100),ABS(C14)/(ABS(C14)+100))*100</f>
        <v/>
      </c>
      <c r="E14">
        <f>B14-D14</f>
        <v/>
      </c>
      <c r="F14">
        <f>IF(C14=0,0,IF(C14&gt;0,((((C14/100)+1)*(B14/100))-(1-B14/100))/((C14/100)),((((100/ABS(C14))+1)*(B14/100))-(1-B14/100))/((100/ABS(C14)))))*100</f>
        <v/>
      </c>
      <c r="G14">
        <f>F14*$B$4</f>
        <v/>
      </c>
      <c r="H14">
        <f>MAX(0,ROUND(G14/100*$B$3,2))</f>
        <v/>
      </c>
      <c r="I14">
        <f>IF(E14&gt;$B$5,"YES","NO")</f>
        <v/>
      </c>
    </row>
    <row r="15">
      <c r="A15" t="inlineStr">
        <is>
          <t>[Team]</t>
        </is>
      </c>
      <c r="B15" s="5" t="n">
        <v>0</v>
      </c>
      <c r="C15" s="2" t="n">
        <v>0</v>
      </c>
      <c r="D15">
        <f>IF(C15&gt;0,100/(C15+100),ABS(C15)/(ABS(C15)+100))*100</f>
        <v/>
      </c>
      <c r="E15">
        <f>B15-D15</f>
        <v/>
      </c>
      <c r="F15">
        <f>IF(C15=0,0,IF(C15&gt;0,((((C15/100)+1)*(B15/100))-(1-B15/100))/((C15/100)),((((100/ABS(C15))+1)*(B15/100))-(1-B15/100))/((100/ABS(C15)))))*100</f>
        <v/>
      </c>
      <c r="G15">
        <f>F15*$B$4</f>
        <v/>
      </c>
      <c r="H15">
        <f>MAX(0,ROUND(G15/100*$B$3,2))</f>
        <v/>
      </c>
      <c r="I15">
        <f>IF(E15&gt;$B$5,"YES","NO")</f>
        <v/>
      </c>
    </row>
    <row r="16">
      <c r="A16" t="inlineStr">
        <is>
          <t>[Team]</t>
        </is>
      </c>
      <c r="B16" s="5" t="n">
        <v>0</v>
      </c>
      <c r="C16" s="2" t="n">
        <v>0</v>
      </c>
      <c r="D16">
        <f>IF(C16&gt;0,100/(C16+100),ABS(C16)/(ABS(C16)+100))*100</f>
        <v/>
      </c>
      <c r="E16">
        <f>B16-D16</f>
        <v/>
      </c>
      <c r="F16">
        <f>IF(C16=0,0,IF(C16&gt;0,((((C16/100)+1)*(B16/100))-(1-B16/100))/((C16/100)),((((100/ABS(C16))+1)*(B16/100))-(1-B16/100))/((100/ABS(C16)))))*100</f>
        <v/>
      </c>
      <c r="G16">
        <f>F16*$B$4</f>
        <v/>
      </c>
      <c r="H16">
        <f>MAX(0,ROUND(G16/100*$B$3,2))</f>
        <v/>
      </c>
      <c r="I16">
        <f>IF(E16&gt;$B$5,"YES","NO")</f>
        <v/>
      </c>
    </row>
    <row r="17">
      <c r="A17" t="inlineStr">
        <is>
          <t>[Team]</t>
        </is>
      </c>
      <c r="B17" s="5" t="n">
        <v>0</v>
      </c>
      <c r="C17" s="2" t="n">
        <v>0</v>
      </c>
      <c r="D17">
        <f>IF(C17&gt;0,100/(C17+100),ABS(C17)/(ABS(C17)+100))*100</f>
        <v/>
      </c>
      <c r="E17">
        <f>B17-D17</f>
        <v/>
      </c>
      <c r="F17">
        <f>IF(C17=0,0,IF(C17&gt;0,((((C17/100)+1)*(B17/100))-(1-B17/100))/((C17/100)),((((100/ABS(C17))+1)*(B17/100))-(1-B17/100))/((100/ABS(C17)))))*100</f>
        <v/>
      </c>
      <c r="G17">
        <f>F17*$B$4</f>
        <v/>
      </c>
      <c r="H17">
        <f>MAX(0,ROUND(G17/100*$B$3,2))</f>
        <v/>
      </c>
      <c r="I17">
        <f>IF(E17&gt;$B$5,"YES","NO")</f>
        <v/>
      </c>
    </row>
    <row r="18">
      <c r="A18" t="inlineStr">
        <is>
          <t>[Team]</t>
        </is>
      </c>
      <c r="B18" s="5" t="n">
        <v>0</v>
      </c>
      <c r="C18" s="2" t="n">
        <v>0</v>
      </c>
      <c r="D18">
        <f>IF(C18&gt;0,100/(C18+100),ABS(C18)/(ABS(C18)+100))*100</f>
        <v/>
      </c>
      <c r="E18">
        <f>B18-D18</f>
        <v/>
      </c>
      <c r="F18">
        <f>IF(C18=0,0,IF(C18&gt;0,((((C18/100)+1)*(B18/100))-(1-B18/100))/((C18/100)),((((100/ABS(C18))+1)*(B18/100))-(1-B18/100))/((100/ABS(C18)))))*100</f>
        <v/>
      </c>
      <c r="G18">
        <f>F18*$B$4</f>
        <v/>
      </c>
      <c r="H18">
        <f>MAX(0,ROUND(G18/100*$B$3,2))</f>
        <v/>
      </c>
      <c r="I18">
        <f>IF(E18&gt;$B$5,"YES","NO")</f>
        <v/>
      </c>
    </row>
    <row r="21">
      <c r="A21" s="4" t="inlineStr">
        <is>
          <t>KELLY VERIFICATION:</t>
        </is>
      </c>
    </row>
    <row r="22">
      <c r="A22" t="inlineStr">
        <is>
          <t>Test: 12% prob, +800 odds</t>
        </is>
      </c>
    </row>
    <row r="23">
      <c r="A23" t="inlineStr">
        <is>
          <t>Decimal Odds:</t>
        </is>
      </c>
      <c r="B23">
        <f>800/100+1</f>
        <v/>
      </c>
      <c r="C23">
        <f> 9</f>
        <v/>
      </c>
    </row>
    <row r="24">
      <c r="A24" t="inlineStr">
        <is>
          <t>Full Kelly%:</t>
        </is>
      </c>
      <c r="B24">
        <f>((9*0.12)-(1-0.12))/(9-1)*100</f>
        <v/>
      </c>
      <c r="C24">
        <f> 1%</f>
        <v/>
      </c>
    </row>
    <row r="25">
      <c r="A25" t="inlineStr">
        <is>
          <t>Quarter Kelly%:</t>
        </is>
      </c>
      <c r="B25">
        <f>B24*0.25</f>
        <v/>
      </c>
      <c r="C25">
        <f> 0.25%</f>
        <v/>
      </c>
    </row>
    <row r="26">
      <c r="A26" t="inlineStr">
        <is>
          <t>Bet on $10K:</t>
        </is>
      </c>
      <c r="B26">
        <f>B25/100*10000</f>
        <v/>
      </c>
      <c r="C26">
        <f> $25</f>
        <v/>
      </c>
    </row>
    <row r="28">
      <c r="A28" s="4" t="inlineStr">
        <is>
          <t>CLV TRACKING:</t>
        </is>
      </c>
    </row>
    <row r="29">
      <c r="A29" s="1" t="inlineStr">
        <is>
          <t>Date</t>
        </is>
      </c>
      <c r="B29" s="1" t="inlineStr">
        <is>
          <t>Team</t>
        </is>
      </c>
      <c r="C29" s="1" t="inlineStr">
        <is>
          <t>Market</t>
        </is>
      </c>
      <c r="D29" s="1" t="inlineStr">
        <is>
          <t>Your Odds</t>
        </is>
      </c>
      <c r="E29" s="1" t="inlineStr">
        <is>
          <t>Close Odds</t>
        </is>
      </c>
      <c r="F29" s="1" t="inlineStr">
        <is>
          <t>Your Impl%</t>
        </is>
      </c>
      <c r="G29" s="1" t="inlineStr">
        <is>
          <t>Close Impl%</t>
        </is>
      </c>
      <c r="H29" s="1" t="inlineStr">
        <is>
          <t>CLV%</t>
        </is>
      </c>
      <c r="I29" s="1" t="inlineStr">
        <is>
          <t>Result</t>
        </is>
      </c>
      <c r="J29" s="1" t="inlineStr">
        <is>
          <t>P/L</t>
        </is>
      </c>
    </row>
    <row r="30">
      <c r="A30" s="2" t="inlineStr"/>
      <c r="B30" s="2" t="inlineStr"/>
      <c r="C30" s="2" t="inlineStr"/>
      <c r="D30" s="2" t="inlineStr"/>
      <c r="E30" s="2" t="inlineStr"/>
      <c r="F30">
        <f>IF(D30="","",IF(D30&gt;0,100/(D30+100),ABS(D30)/(ABS(D30)+100))*100)</f>
        <v/>
      </c>
      <c r="G30">
        <f>IF(E30="","",IF(E30&gt;0,100/(E30+100),ABS(E30)/(ABS(E30)+100))*100)</f>
        <v/>
      </c>
      <c r="H30">
        <f>IF(OR(F30="",G30=""),"",G30-F30)</f>
        <v/>
      </c>
      <c r="I30" s="5" t="inlineStr"/>
      <c r="J30" s="5" t="inlineStr"/>
    </row>
    <row r="31">
      <c r="A31" s="2" t="inlineStr"/>
      <c r="B31" s="2" t="inlineStr"/>
      <c r="C31" s="2" t="inlineStr"/>
      <c r="D31" s="2" t="inlineStr"/>
      <c r="E31" s="2" t="inlineStr"/>
      <c r="F31">
        <f>IF(D31="","",IF(D31&gt;0,100/(D31+100),ABS(D31)/(ABS(D31)+100))*100)</f>
        <v/>
      </c>
      <c r="G31">
        <f>IF(E31="","",IF(E31&gt;0,100/(E31+100),ABS(E31)/(ABS(E31)+100))*100)</f>
        <v/>
      </c>
      <c r="H31">
        <f>IF(OR(F31="",G31=""),"",G31-F31)</f>
        <v/>
      </c>
      <c r="I31" s="5" t="inlineStr"/>
      <c r="J31" s="5" t="inlineStr"/>
    </row>
    <row r="32">
      <c r="A32" s="2" t="inlineStr"/>
      <c r="B32" s="2" t="inlineStr"/>
      <c r="C32" s="2" t="inlineStr"/>
      <c r="D32" s="2" t="inlineStr"/>
      <c r="E32" s="2" t="inlineStr"/>
      <c r="F32">
        <f>IF(D32="","",IF(D32&gt;0,100/(D32+100),ABS(D32)/(ABS(D32)+100))*100)</f>
        <v/>
      </c>
      <c r="G32">
        <f>IF(E32="","",IF(E32&gt;0,100/(E32+100),ABS(E32)/(ABS(E32)+100))*100)</f>
        <v/>
      </c>
      <c r="H32">
        <f>IF(OR(F32="",G32=""),"",G32-F32)</f>
        <v/>
      </c>
      <c r="I32" s="5" t="inlineStr"/>
      <c r="J32" s="5" t="inlineStr"/>
    </row>
    <row r="33">
      <c r="A33" s="2" t="inlineStr"/>
      <c r="B33" s="2" t="inlineStr"/>
      <c r="C33" s="2" t="inlineStr"/>
      <c r="D33" s="2" t="inlineStr"/>
      <c r="E33" s="2" t="inlineStr"/>
      <c r="F33">
        <f>IF(D33="","",IF(D33&gt;0,100/(D33+100),ABS(D33)/(ABS(D33)+100))*100)</f>
        <v/>
      </c>
      <c r="G33">
        <f>IF(E33="","",IF(E33&gt;0,100/(E33+100),ABS(E33)/(ABS(E33)+100))*100)</f>
        <v/>
      </c>
      <c r="H33">
        <f>IF(OR(F33="",G33=""),"",G33-F33)</f>
        <v/>
      </c>
      <c r="I33" s="5" t="inlineStr"/>
      <c r="J33" s="5" t="inlineStr"/>
    </row>
    <row r="34">
      <c r="A34" s="2" t="inlineStr"/>
      <c r="B34" s="2" t="inlineStr"/>
      <c r="C34" s="2" t="inlineStr"/>
      <c r="D34" s="2" t="inlineStr"/>
      <c r="E34" s="2" t="inlineStr"/>
      <c r="F34">
        <f>IF(D34="","",IF(D34&gt;0,100/(D34+100),ABS(D34)/(ABS(D34)+100))*100)</f>
        <v/>
      </c>
      <c r="G34">
        <f>IF(E34="","",IF(E34&gt;0,100/(E34+100),ABS(E34)/(ABS(E34)+100))*100)</f>
        <v/>
      </c>
      <c r="H34">
        <f>IF(OR(F34="",G34=""),"",G34-F34)</f>
        <v/>
      </c>
      <c r="I34" s="5" t="inlineStr"/>
      <c r="J34" s="5" t="inlineStr"/>
    </row>
    <row r="37">
      <c r="A37" s="4" t="inlineStr">
        <is>
          <t>CLV SUMMARY:</t>
        </is>
      </c>
    </row>
    <row r="38">
      <c r="A38" t="inlineStr">
        <is>
          <t>Total Bets:</t>
        </is>
      </c>
      <c r="B38">
        <f>COUNTA(A30:A34)</f>
        <v/>
      </c>
    </row>
    <row r="39">
      <c r="A39" t="inlineStr">
        <is>
          <t>Avg CLV%:</t>
        </is>
      </c>
      <c r="B39">
        <f>IFERROR(AVERAGE(H30:H34),0)</f>
        <v/>
      </c>
    </row>
    <row r="40">
      <c r="A40" t="inlineStr">
        <is>
          <t>Total P/L:</t>
        </is>
      </c>
      <c r="B40">
        <f>SUM(J30:J34)</f>
        <v/>
      </c>
    </row>
    <row r="41">
      <c r="A41" t="inlineStr">
        <is>
          <t>Skill Met (&gt;2%):</t>
        </is>
      </c>
      <c r="B41">
        <f>IF(B39&gt;2,"YES","NO")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STANLEY CUP CHAMPIONS 2015-2025</t>
        </is>
      </c>
    </row>
    <row r="3">
      <c r="A3" s="1" t="inlineStr">
        <is>
          <t>Season</t>
        </is>
      </c>
      <c r="B3" s="1" t="inlineStr">
        <is>
          <t>Team</t>
        </is>
      </c>
      <c r="C3" s="1" t="inlineStr">
        <is>
          <t>Pts</t>
        </is>
      </c>
      <c r="D3" s="1" t="inlineStr">
        <is>
          <t>GD</t>
        </is>
      </c>
      <c r="E3" s="1" t="inlineStr">
        <is>
          <t>Road Rec</t>
        </is>
      </c>
      <c r="F3" s="1" t="inlineStr">
        <is>
          <t>Road%</t>
        </is>
      </c>
      <c r="G3" s="1" t="inlineStr">
        <is>
          <t>GSAx</t>
        </is>
      </c>
      <c r="H3" s="1" t="inlineStr">
        <is>
          <t>HD SV%</t>
        </is>
      </c>
      <c r="I3" s="1" t="inlineStr">
        <is>
          <t>HDCF%</t>
        </is>
      </c>
      <c r="J3" s="1" t="inlineStr">
        <is>
          <t>PK%</t>
        </is>
      </c>
      <c r="K3" s="1" t="inlineStr">
        <is>
          <t>Pre Rank</t>
        </is>
      </c>
      <c r="L3" s="1" t="inlineStr">
        <is>
          <t>DL Rank</t>
        </is>
      </c>
      <c r="M3" s="1" t="inlineStr">
        <is>
          <t>Key Factor</t>
        </is>
      </c>
    </row>
    <row r="4">
      <c r="A4" t="inlineStr">
        <is>
          <t>2015-16</t>
        </is>
      </c>
      <c r="B4" t="inlineStr">
        <is>
          <t>PIT</t>
        </is>
      </c>
      <c r="C4" t="n">
        <v>104</v>
      </c>
      <c r="D4" t="n">
        <v>42</v>
      </c>
      <c r="E4" t="inlineStr">
        <is>
          <t>21-16-4</t>
        </is>
      </c>
      <c r="F4" t="n">
        <v>56.1</v>
      </c>
      <c r="G4" t="n">
        <v>12.5</v>
      </c>
      <c r="H4" t="n">
        <v>0.835</v>
      </c>
      <c r="I4" t="n">
        <v>52.1</v>
      </c>
      <c r="J4" t="n">
        <v>84.2</v>
      </c>
      <c r="K4" t="n">
        <v>6</v>
      </c>
      <c r="L4" t="n">
        <v>4</v>
      </c>
      <c r="M4" t="inlineStr">
        <is>
          <t>Murray</t>
        </is>
      </c>
    </row>
    <row r="5">
      <c r="A5" t="inlineStr">
        <is>
          <t>2016-17</t>
        </is>
      </c>
      <c r="B5" t="inlineStr">
        <is>
          <t>PIT</t>
        </is>
      </c>
      <c r="C5" t="n">
        <v>111</v>
      </c>
      <c r="D5" t="n">
        <v>49</v>
      </c>
      <c r="E5" t="inlineStr">
        <is>
          <t>19-15-7</t>
        </is>
      </c>
      <c r="F5" t="n">
        <v>54.9</v>
      </c>
      <c r="G5" t="n">
        <v>8.199999999999999</v>
      </c>
      <c r="H5" t="n">
        <v>0.828</v>
      </c>
      <c r="I5" t="n">
        <v>51.8</v>
      </c>
      <c r="J5" t="n">
        <v>83.5</v>
      </c>
      <c r="K5" t="n">
        <v>3</v>
      </c>
      <c r="L5" t="n">
        <v>2</v>
      </c>
      <c r="M5" t="inlineStr">
        <is>
          <t>Depth</t>
        </is>
      </c>
    </row>
    <row r="6">
      <c r="A6" t="inlineStr">
        <is>
          <t>2017-18</t>
        </is>
      </c>
      <c r="B6" t="inlineStr">
        <is>
          <t>WSH</t>
        </is>
      </c>
      <c r="C6" t="n">
        <v>105</v>
      </c>
      <c r="D6" t="n">
        <v>40</v>
      </c>
      <c r="E6" t="inlineStr">
        <is>
          <t>21-15-5</t>
        </is>
      </c>
      <c r="F6" t="n">
        <v>57.3</v>
      </c>
      <c r="G6" t="n">
        <v>5.1</v>
      </c>
      <c r="H6" t="n">
        <v>0.8179999999999999</v>
      </c>
      <c r="I6" t="n">
        <v>50.2</v>
      </c>
      <c r="J6" t="n">
        <v>82.09999999999999</v>
      </c>
      <c r="K6" t="n">
        <v>5</v>
      </c>
      <c r="L6" t="n">
        <v>5</v>
      </c>
      <c r="M6" t="inlineStr">
        <is>
          <t>Holtby</t>
        </is>
      </c>
    </row>
    <row r="7">
      <c r="A7" t="inlineStr">
        <is>
          <t>2018-19</t>
        </is>
      </c>
      <c r="B7" t="inlineStr">
        <is>
          <t>STL</t>
        </is>
      </c>
      <c r="C7" t="n">
        <v>99</v>
      </c>
      <c r="D7" t="n">
        <v>15</v>
      </c>
      <c r="E7" t="inlineStr">
        <is>
          <t>23-10-8</t>
        </is>
      </c>
      <c r="F7" t="n">
        <v>65.90000000000001</v>
      </c>
      <c r="G7" t="n">
        <v>18.5</v>
      </c>
      <c r="H7" t="n">
        <v>0.842</v>
      </c>
      <c r="I7" t="n">
        <v>49.8</v>
      </c>
      <c r="J7" t="n">
        <v>80.5</v>
      </c>
      <c r="K7" t="n">
        <v>22</v>
      </c>
      <c r="L7" t="n">
        <v>8</v>
      </c>
      <c r="M7" t="inlineStr">
        <is>
          <t>Binnington</t>
        </is>
      </c>
    </row>
    <row r="8">
      <c r="A8" t="inlineStr">
        <is>
          <t>2019-20</t>
        </is>
      </c>
      <c r="B8" t="inlineStr">
        <is>
          <t>TBL</t>
        </is>
      </c>
      <c r="C8" t="n">
        <v>96</v>
      </c>
      <c r="D8" t="n">
        <v>40</v>
      </c>
      <c r="E8" t="inlineStr">
        <is>
          <t>21-11-4</t>
        </is>
      </c>
      <c r="F8" t="n">
        <v>63.9</v>
      </c>
      <c r="G8" t="n">
        <v>14.2</v>
      </c>
      <c r="H8" t="n">
        <v>0.838</v>
      </c>
      <c r="I8" t="n">
        <v>54.5</v>
      </c>
      <c r="J8" t="n">
        <v>85.2</v>
      </c>
      <c r="K8" t="n">
        <v>2</v>
      </c>
      <c r="L8" t="n">
        <v>2</v>
      </c>
      <c r="M8" t="inlineStr">
        <is>
          <t>Vasilevskiy</t>
        </is>
      </c>
    </row>
    <row r="9">
      <c r="A9" t="inlineStr">
        <is>
          <t>2020-21</t>
        </is>
      </c>
      <c r="B9" t="inlineStr">
        <is>
          <t>TBL</t>
        </is>
      </c>
      <c r="C9" t="n">
        <v>75</v>
      </c>
      <c r="D9" t="n">
        <v>30</v>
      </c>
      <c r="E9" t="inlineStr">
        <is>
          <t>15-10-3</t>
        </is>
      </c>
      <c r="F9" t="n">
        <v>58.9</v>
      </c>
      <c r="G9" t="n">
        <v>16.8</v>
      </c>
      <c r="H9" t="n">
        <v>0.845</v>
      </c>
      <c r="I9" t="n">
        <v>53.2</v>
      </c>
      <c r="J9" t="n">
        <v>84.8</v>
      </c>
      <c r="K9" t="n">
        <v>4</v>
      </c>
      <c r="L9" t="n">
        <v>3</v>
      </c>
      <c r="M9" t="inlineStr">
        <is>
          <t>Repeat</t>
        </is>
      </c>
    </row>
    <row r="10">
      <c r="A10" t="inlineStr">
        <is>
          <t>2021-22</t>
        </is>
      </c>
      <c r="B10" t="inlineStr">
        <is>
          <t>COL</t>
        </is>
      </c>
      <c r="C10" t="n">
        <v>119</v>
      </c>
      <c r="D10" t="n">
        <v>81</v>
      </c>
      <c r="E10" t="inlineStr">
        <is>
          <t>24-14-3</t>
        </is>
      </c>
      <c r="F10" t="n">
        <v>62.2</v>
      </c>
      <c r="G10" t="n">
        <v>9.4</v>
      </c>
      <c r="H10" t="n">
        <v>0.832</v>
      </c>
      <c r="I10" t="n">
        <v>55.8</v>
      </c>
      <c r="J10" t="n">
        <v>86.09999999999999</v>
      </c>
      <c r="K10" t="n">
        <v>1</v>
      </c>
      <c r="L10" t="n">
        <v>1</v>
      </c>
      <c r="M10" t="inlineStr">
        <is>
          <t>Dominant</t>
        </is>
      </c>
    </row>
    <row r="11">
      <c r="A11" t="inlineStr">
        <is>
          <t>2022-23</t>
        </is>
      </c>
      <c r="B11" t="inlineStr">
        <is>
          <t>VGK</t>
        </is>
      </c>
      <c r="C11" t="n">
        <v>111</v>
      </c>
      <c r="D11" t="n">
        <v>50</v>
      </c>
      <c r="E11" t="inlineStr">
        <is>
          <t>26-7-8</t>
        </is>
      </c>
      <c r="F11" t="n">
        <v>73.2</v>
      </c>
      <c r="G11" t="n">
        <v>4.2</v>
      </c>
      <c r="H11" t="n">
        <v>0.825</v>
      </c>
      <c r="I11" t="n">
        <v>52.4</v>
      </c>
      <c r="J11" t="n">
        <v>82.8</v>
      </c>
      <c r="K11" t="n">
        <v>4</v>
      </c>
      <c r="L11" t="n">
        <v>3</v>
      </c>
      <c r="M11" t="inlineStr">
        <is>
          <t>Hill</t>
        </is>
      </c>
    </row>
    <row r="12">
      <c r="A12" t="inlineStr">
        <is>
          <t>2023-24</t>
        </is>
      </c>
      <c r="B12" t="inlineStr">
        <is>
          <t>FLA</t>
        </is>
      </c>
      <c r="C12" t="n">
        <v>110</v>
      </c>
      <c r="D12" t="n">
        <v>45</v>
      </c>
      <c r="E12" t="inlineStr">
        <is>
          <t>26-11-4</t>
        </is>
      </c>
      <c r="F12" t="n">
        <v>68.3</v>
      </c>
      <c r="G12" t="n">
        <v>5.1</v>
      </c>
      <c r="H12" t="n">
        <v>0.828</v>
      </c>
      <c r="I12" t="n">
        <v>51.1</v>
      </c>
      <c r="J12" t="n">
        <v>81.7</v>
      </c>
      <c r="K12" t="n">
        <v>7</v>
      </c>
      <c r="L12" t="n">
        <v>4</v>
      </c>
      <c r="M12" t="inlineStr">
        <is>
          <t>Bobrovsky</t>
        </is>
      </c>
    </row>
    <row r="13">
      <c r="A13" t="inlineStr">
        <is>
          <t>2024-25</t>
        </is>
      </c>
      <c r="B13" t="inlineStr">
        <is>
          <t>FLA</t>
        </is>
      </c>
      <c r="C13" t="n">
        <v>98</v>
      </c>
      <c r="D13" t="n">
        <v>23</v>
      </c>
      <c r="E13" t="inlineStr">
        <is>
          <t>20-19-2</t>
        </is>
      </c>
      <c r="F13" t="n">
        <v>51.2</v>
      </c>
      <c r="G13" t="n">
        <v>3.8</v>
      </c>
      <c r="H13" t="n">
        <v>0.82</v>
      </c>
      <c r="I13" t="n">
        <v>50.8</v>
      </c>
      <c r="J13" t="n">
        <v>82.40000000000001</v>
      </c>
      <c r="K13" t="n">
        <v>9</v>
      </c>
      <c r="L13" t="n">
        <v>6</v>
      </c>
      <c r="M13" t="inlineStr">
        <is>
          <t>Repeat</t>
        </is>
      </c>
    </row>
    <row r="16">
      <c r="A16" s="4" t="inlineStr">
        <is>
          <t>MINIMUM VIABLE THRESHOLDS:</t>
        </is>
      </c>
    </row>
    <row r="18">
      <c r="A18" s="4" t="inlineStr">
        <is>
          <t>Metric</t>
        </is>
      </c>
      <c r="B18" s="4" t="inlineStr">
        <is>
          <t>Min</t>
        </is>
      </c>
      <c r="C18" s="4" t="inlineStr">
        <is>
          <t>80th Pct</t>
        </is>
      </c>
      <c r="D18" s="4" t="inlineStr">
        <is>
          <t>Notes</t>
        </is>
      </c>
    </row>
    <row r="19">
      <c r="A19" t="inlineStr">
        <is>
          <t>Points</t>
        </is>
      </c>
      <c r="B19" t="n">
        <v>96</v>
      </c>
      <c r="C19" t="n">
        <v>110</v>
      </c>
      <c r="D19" t="inlineStr">
        <is>
          <t>Only 2025 below 99</t>
        </is>
      </c>
    </row>
    <row r="20">
      <c r="A20" t="inlineStr">
        <is>
          <t>Goal Diff</t>
        </is>
      </c>
      <c r="B20" t="n">
        <v>15</v>
      </c>
      <c r="C20" t="n">
        <v>45</v>
      </c>
      <c r="D20" t="inlineStr">
        <is>
          <t>2019 STL outlier</t>
        </is>
      </c>
    </row>
    <row r="21">
      <c r="A21" t="inlineStr">
        <is>
          <t>Road Win%</t>
        </is>
      </c>
      <c r="B21" t="n">
        <v>51.2</v>
      </c>
      <c r="C21" t="n">
        <v>65</v>
      </c>
      <c r="D21" t="inlineStr">
        <is>
          <t>All &gt;50%</t>
        </is>
      </c>
    </row>
    <row r="22">
      <c r="A22" t="inlineStr">
        <is>
          <t>GSAx</t>
        </is>
      </c>
      <c r="B22" t="n">
        <v>3.8</v>
      </c>
      <c r="C22" t="n">
        <v>14</v>
      </c>
      <c r="D22" t="inlineStr">
        <is>
          <t>Goaltending key</t>
        </is>
      </c>
    </row>
    <row r="23">
      <c r="A23" t="inlineStr">
        <is>
          <t>HD SV%</t>
        </is>
      </c>
      <c r="B23" t="n">
        <v>0.8179999999999999</v>
      </c>
      <c r="C23" t="n">
        <v>0.838</v>
      </c>
      <c r="D23" t="inlineStr">
        <is>
          <t>High-danger saves</t>
        </is>
      </c>
    </row>
    <row r="24">
      <c r="A24" t="inlineStr">
        <is>
          <t>DL Rank</t>
        </is>
      </c>
      <c r="B24" t="n">
        <v>8</v>
      </c>
      <c r="C24" t="n">
        <v>4</v>
      </c>
      <c r="D24" t="inlineStr">
        <is>
          <t>Must be Top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FORMULA REFERENCE V7.1</t>
        </is>
      </c>
    </row>
    <row r="3">
      <c r="A3" s="6" t="inlineStr">
        <is>
          <t>Name</t>
        </is>
      </c>
      <c r="B3" s="6" t="inlineStr">
        <is>
          <t>Formula</t>
        </is>
      </c>
      <c r="C3" s="6" t="inlineStr">
        <is>
          <t>Description</t>
        </is>
      </c>
    </row>
    <row r="4">
      <c r="A4" t="inlineStr">
        <is>
          <t>Sigmoid</t>
        </is>
      </c>
      <c r="B4">
        <f>MaxPts/(1+EXP(k*(Rank-Mid)))</f>
        <v/>
      </c>
      <c r="C4" t="inlineStr">
        <is>
          <t>Rank to score</t>
        </is>
      </c>
    </row>
    <row r="5">
      <c r="A5" t="inlineStr">
        <is>
          <t>Amer to Decimal</t>
        </is>
      </c>
      <c r="B5">
        <f>IF(Odds&gt;0,Odds/100+1,100/ABS(Odds)+1)</f>
        <v/>
      </c>
      <c r="C5" t="inlineStr">
        <is>
          <t>Odds conversion</t>
        </is>
      </c>
    </row>
    <row r="6">
      <c r="A6" t="inlineStr">
        <is>
          <t>Implied Prob</t>
        </is>
      </c>
      <c r="B6">
        <f>IF(Odds&gt;0,100/(Odds+100),ABS(Odds)/(ABS(Odds)+100))</f>
        <v/>
      </c>
      <c r="C6" t="inlineStr">
        <is>
          <t>Odds to prob</t>
        </is>
      </c>
    </row>
    <row r="7">
      <c r="A7" t="inlineStr">
        <is>
          <t>Edge</t>
        </is>
      </c>
      <c r="B7">
        <f>ModelProb-ImpliedProb</f>
        <v/>
      </c>
      <c r="C7" t="inlineStr">
        <is>
          <t>Value identification</t>
        </is>
      </c>
    </row>
    <row r="8">
      <c r="A8" t="inlineStr">
        <is>
          <t>Kelly</t>
        </is>
      </c>
      <c r="B8">
        <f>((DecOdds*Prob)-(1-Prob))/(DecOdds-1)</f>
        <v/>
      </c>
      <c r="C8" t="inlineStr">
        <is>
          <t>Bet sizing</t>
        </is>
      </c>
    </row>
    <row r="9">
      <c r="A9" t="inlineStr">
        <is>
          <t>Quarter Kelly</t>
        </is>
      </c>
      <c r="B9">
        <f>FullKelly*0.25</f>
        <v/>
      </c>
      <c r="C9" t="inlineStr">
        <is>
          <t>Conservative sizing</t>
        </is>
      </c>
    </row>
    <row r="10">
      <c r="A10" t="inlineStr">
        <is>
          <t>CLV</t>
        </is>
      </c>
      <c r="B10">
        <f>CloseImpl-YourImpl</f>
        <v/>
      </c>
      <c r="C10" t="inlineStr">
        <is>
          <t>Skill indicator</t>
        </is>
      </c>
    </row>
    <row r="11">
      <c r="A11" t="inlineStr">
        <is>
          <t>Beta CI</t>
        </is>
      </c>
      <c r="B11">
        <f>BETA.INV(0.05,P*n+1,(1-P)*n+1)</f>
        <v/>
      </c>
      <c r="C11" t="inlineStr">
        <is>
          <t>90% CI bounds</t>
        </is>
      </c>
    </row>
    <row r="12">
      <c r="A12" t="inlineStr">
        <is>
          <t>Road Win%</t>
        </is>
      </c>
      <c r="B12">
        <f>(W+OTL*0.5)/(W+L+OTL)</f>
        <v/>
      </c>
      <c r="C12" t="inlineStr">
        <is>
          <t>Road performance</t>
        </is>
      </c>
    </row>
    <row r="13">
      <c r="A13" t="inlineStr">
        <is>
          <t>HD SV Score</t>
        </is>
      </c>
      <c r="B13">
        <f>2*MAX(-1,MIN(1,(SV%-0.82)/0.03))</f>
        <v/>
      </c>
      <c r="C13" t="inlineStr">
        <is>
          <t>HD continuous</t>
        </is>
      </c>
    </row>
    <row r="16">
      <c r="A16" s="4" t="inlineStr">
        <is>
          <t>V7.1 WEIGHTS:</t>
        </is>
      </c>
    </row>
    <row r="18">
      <c r="A18" s="4" t="inlineStr">
        <is>
          <t>Metric</t>
        </is>
      </c>
      <c r="B18" s="4" t="inlineStr">
        <is>
          <t>Weight</t>
        </is>
      </c>
    </row>
    <row r="19">
      <c r="A19" t="inlineStr">
        <is>
          <t>HDCF%</t>
        </is>
      </c>
      <c r="B19" t="inlineStr">
        <is>
          <t>11%</t>
        </is>
      </c>
    </row>
    <row r="20">
      <c r="A20" t="inlineStr">
        <is>
          <t>GSAx</t>
        </is>
      </c>
      <c r="B20" t="inlineStr">
        <is>
          <t>11%</t>
        </is>
      </c>
    </row>
    <row r="21">
      <c r="A21" t="inlineStr">
        <is>
          <t>xGD</t>
        </is>
      </c>
      <c r="B21" t="inlineStr">
        <is>
          <t>9%</t>
        </is>
      </c>
    </row>
    <row r="22">
      <c r="A22" t="inlineStr">
        <is>
          <t>xGA</t>
        </is>
      </c>
      <c r="B22" t="inlineStr">
        <is>
          <t>9%</t>
        </is>
      </c>
    </row>
    <row r="23">
      <c r="A23" t="inlineStr">
        <is>
          <t>PK%</t>
        </is>
      </c>
      <c r="B23" t="inlineStr">
        <is>
          <t>8%</t>
        </is>
      </c>
    </row>
    <row r="24">
      <c r="A24" t="inlineStr">
        <is>
          <t>Form</t>
        </is>
      </c>
      <c r="B24" t="inlineStr">
        <is>
          <t>8%</t>
        </is>
      </c>
    </row>
    <row r="25">
      <c r="A25" t="inlineStr">
        <is>
          <t>GD</t>
        </is>
      </c>
      <c r="B25" t="inlineStr">
        <is>
          <t>6%</t>
        </is>
      </c>
    </row>
    <row r="26">
      <c r="A26" t="inlineStr">
        <is>
          <t>PP%</t>
        </is>
      </c>
      <c r="B26" t="inlineStr">
        <is>
          <t>6%</t>
        </is>
      </c>
    </row>
    <row r="27">
      <c r="A27" t="inlineStr">
        <is>
          <t>Depth</t>
        </is>
      </c>
      <c r="B27" t="inlineStr">
        <is>
          <t>6%</t>
        </is>
      </c>
    </row>
    <row r="28">
      <c r="A28" t="inlineStr">
        <is>
          <t>Star</t>
        </is>
      </c>
      <c r="B28" t="inlineStr">
        <is>
          <t>5%</t>
        </is>
      </c>
    </row>
    <row r="29">
      <c r="A29" t="inlineStr">
        <is>
          <t>Road</t>
        </is>
      </c>
      <c r="B29" t="inlineStr">
        <is>
          <t>5%</t>
        </is>
      </c>
    </row>
    <row r="30">
      <c r="A30" t="inlineStr">
        <is>
          <t>Variance</t>
        </is>
      </c>
      <c r="B30" t="inlineStr">
        <is>
          <t>3%</t>
        </is>
      </c>
    </row>
    <row r="31">
      <c r="A31" t="inlineStr">
        <is>
          <t>Coach</t>
        </is>
      </c>
      <c r="B31" t="inlineStr">
        <is>
          <t>3%</t>
        </is>
      </c>
    </row>
    <row r="32">
      <c r="A32" t="inlineStr">
        <is>
          <t>CF%</t>
        </is>
      </c>
      <c r="B32" t="inlineStr">
        <is>
          <t>2%</t>
        </is>
      </c>
    </row>
    <row r="33">
      <c r="A33" t="inlineStr">
        <is>
          <t>Faceoffs</t>
        </is>
      </c>
      <c r="B33" t="inlineStr">
        <is>
          <t>2%</t>
        </is>
      </c>
    </row>
    <row r="34">
      <c r="A34" t="inlineStr">
        <is>
          <t>GA</t>
        </is>
      </c>
      <c r="B34" t="inlineStr">
        <is>
          <t>2%</t>
        </is>
      </c>
    </row>
    <row r="35">
      <c r="A35" t="inlineStr">
        <is>
          <t>Clutch</t>
        </is>
      </c>
      <c r="B35" t="inlineStr">
        <is>
          <t>2%</t>
        </is>
      </c>
    </row>
    <row r="36">
      <c r="A36" s="4" t="inlineStr">
        <is>
          <t>PDO</t>
        </is>
      </c>
      <c r="B36" s="4" t="inlineStr">
        <is>
          <t>1%</t>
        </is>
      </c>
    </row>
    <row r="37">
      <c r="A37" t="inlineStr">
        <is>
          <t>TOTAL</t>
        </is>
      </c>
      <c r="B3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2026-01-26T04:28:06Z</dcterms:created>
  <dcterms:modified xmlns:dcterms="http://purl.org/dc/terms/" xmlns:xsi="http://www.w3.org/2001/XMLSchema-instance" xsi:type="dcterms:W3CDTF">2026-01-26T04:28:06Z</dcterms:modified>
</cp:coreProperties>
</file>